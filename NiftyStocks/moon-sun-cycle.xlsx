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il/Documents/Trading/NiftyStocks/"/>
    </mc:Choice>
  </mc:AlternateContent>
  <xr:revisionPtr revIDLastSave="0" documentId="8_{D7400DDC-5533-0045-9A43-4422A461AB73}" xr6:coauthVersionLast="47" xr6:coauthVersionMax="47" xr10:uidLastSave="{00000000-0000-0000-0000-000000000000}"/>
  <bookViews>
    <workbookView xWindow="1220" yWindow="2000" windowWidth="29200" windowHeight="18340" xr2:uid="{DEE95F65-70A9-9F49-AE9F-31C0B4648C24}"/>
  </bookViews>
  <sheets>
    <sheet name="moon-cyles" sheetId="2" r:id="rId1"/>
    <sheet name="Sun-Cycle" sheetId="3" r:id="rId2"/>
    <sheet name="Sheet4" sheetId="4" r:id="rId3"/>
    <sheet name="MACD-S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5" l="1"/>
  <c r="D6" i="5"/>
  <c r="D12" i="5"/>
  <c r="D11" i="5"/>
  <c r="D10" i="5"/>
  <c r="D7" i="5"/>
  <c r="E19" i="2"/>
  <c r="F3" i="4"/>
  <c r="F2" i="4"/>
  <c r="D3" i="4"/>
  <c r="E3" i="4" s="1"/>
  <c r="D2" i="4"/>
  <c r="E2" i="4" s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4" i="2"/>
  <c r="I5" i="2"/>
  <c r="I3" i="2"/>
  <c r="B2" i="3"/>
  <c r="D2" i="3" s="1"/>
  <c r="E8" i="2" l="1"/>
  <c r="E20" i="2"/>
  <c r="E21" i="2"/>
  <c r="E3" i="2"/>
  <c r="E22" i="2"/>
  <c r="E12" i="2"/>
  <c r="E5" i="2"/>
  <c r="E13" i="2"/>
  <c r="E9" i="2"/>
  <c r="E10" i="2"/>
  <c r="E11" i="2"/>
  <c r="E4" i="2"/>
  <c r="E6" i="2"/>
  <c r="E14" i="2"/>
  <c r="E7" i="2"/>
  <c r="E15" i="2"/>
  <c r="E17" i="2"/>
  <c r="E23" i="2"/>
  <c r="E16" i="2"/>
  <c r="E18" i="2"/>
</calcChain>
</file>

<file path=xl/sharedStrings.xml><?xml version="1.0" encoding="utf-8"?>
<sst xmlns="http://schemas.openxmlformats.org/spreadsheetml/2006/main" count="49" uniqueCount="34">
  <si>
    <t>Start Date</t>
  </si>
  <si>
    <t>Cycle Dates</t>
  </si>
  <si>
    <t>Mod - 360</t>
  </si>
  <si>
    <t>Low or High during Trend Change</t>
  </si>
  <si>
    <t>Date</t>
  </si>
  <si>
    <t>Future Date</t>
  </si>
  <si>
    <t>SN</t>
  </si>
  <si>
    <t>Cycle Days</t>
  </si>
  <si>
    <t>Use daily Chart</t>
  </si>
  <si>
    <t>Instrumetns</t>
  </si>
  <si>
    <t>Nifty 50</t>
  </si>
  <si>
    <t>Bank Nifty</t>
  </si>
  <si>
    <t xml:space="preserve">Spot Open 9:15 </t>
  </si>
  <si>
    <t>Spot Close 9:45</t>
  </si>
  <si>
    <t>% Change</t>
  </si>
  <si>
    <t>Action</t>
  </si>
  <si>
    <t>Strike</t>
  </si>
  <si>
    <t>Price at 9:45</t>
  </si>
  <si>
    <t>Lot</t>
  </si>
  <si>
    <t>Bear-Sell CE - Bull Sell PE</t>
  </si>
  <si>
    <t xml:space="preserve">Price </t>
  </si>
  <si>
    <t>Nifty Future Price</t>
  </si>
  <si>
    <t>Bank Nifty Future Price</t>
  </si>
  <si>
    <t xml:space="preserve">Future Price at 9.30 </t>
  </si>
  <si>
    <t>Sell ATM or ITM (Priority)</t>
  </si>
  <si>
    <t>Have max 2 Position of High Value</t>
  </si>
  <si>
    <t>SL (ST-10-2 or High of pre-5Bar)</t>
  </si>
  <si>
    <t xml:space="preserve">Always trade in the Direction of Trend or Momentum </t>
  </si>
  <si>
    <t>Don’t Trade If Super Trend show Stop Loss of 300 point or More for BN and 95 points for Nifty Option</t>
  </si>
  <si>
    <t>Avoid Stoploss during Maket Opening to hit the SL . Set stoploss at 9:25 and keep trailing Stop Loss</t>
  </si>
  <si>
    <t>Always select any  2 high value option</t>
  </si>
  <si>
    <t xml:space="preserve"> Sell CE  options when  MACD line cross below Signal line (during Bearish Trend) and Sell PE when MACD line cross above Signal line during Bullish Trend (15 min Candle)</t>
  </si>
  <si>
    <t>Check Trend using MACD for 1 hour for Bullish or Bearish Trend BankNifty or Nifty Futures . (1 hour candle)</t>
  </si>
  <si>
    <t>If SuperTrend (10,2) is not formed Select previous High of previous 5th bar as Stoploss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</si>
</sst>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0" fillId="2" borderId="0" xfId="0" applyNumberFormat="1" applyFill="1"/>
    <xf numFmtId="14" fontId="1" fillId="3" borderId="0" xfId="0" applyNumberFormat="1" applyFont="1" applyFill="1" applyAlignment="1">
      <alignment horizontal="center"/>
    </xf>
    <xf numFmtId="0" fontId="1" fillId="3" borderId="0" xfId="0" applyFont="1" applyFill="1"/>
    <xf numFmtId="1" fontId="1" fillId="3" borderId="0" xfId="0" applyNumberFormat="1" applyFont="1" applyFill="1"/>
    <xf numFmtId="14" fontId="1" fillId="3" borderId="0" xfId="0" applyNumberFormat="1" applyFont="1" applyFill="1"/>
    <xf numFmtId="0" fontId="3" fillId="4" borderId="1" xfId="0" applyFont="1" applyFill="1" applyBorder="1"/>
    <xf numFmtId="2" fontId="3" fillId="4" borderId="1" xfId="0" applyNumberFormat="1" applyFont="1" applyFill="1" applyBorder="1"/>
    <xf numFmtId="0" fontId="4" fillId="0" borderId="1" xfId="0" applyFont="1" applyBorder="1"/>
    <xf numFmtId="2" fontId="4" fillId="0" borderId="1" xfId="0" applyNumberFormat="1" applyFont="1" applyBorder="1"/>
    <xf numFmtId="0" fontId="4" fillId="5" borderId="1" xfId="0" applyFont="1" applyFill="1" applyBorder="1"/>
    <xf numFmtId="0" fontId="3" fillId="6" borderId="1" xfId="0" applyFont="1" applyFill="1" applyBorder="1"/>
    <xf numFmtId="0" fontId="4" fillId="6" borderId="1" xfId="0" applyFont="1" applyFill="1" applyBorder="1"/>
    <xf numFmtId="0" fontId="4" fillId="0" borderId="2" xfId="0" applyFont="1" applyBorder="1"/>
    <xf numFmtId="0" fontId="3" fillId="4" borderId="2" xfId="0" applyFont="1" applyFill="1" applyBorder="1"/>
    <xf numFmtId="0" fontId="0" fillId="0" borderId="1" xfId="0" applyBorder="1"/>
    <xf numFmtId="0" fontId="3" fillId="6" borderId="3" xfId="0" applyFont="1" applyFill="1" applyBorder="1"/>
    <xf numFmtId="0" fontId="5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1011-95DE-E940-BB22-A671FFD743E1}">
  <dimension ref="A1:L31"/>
  <sheetViews>
    <sheetView tabSelected="1" workbookViewId="0">
      <selection activeCell="F35" sqref="F35"/>
    </sheetView>
  </sheetViews>
  <sheetFormatPr baseColWidth="10" defaultRowHeight="16" x14ac:dyDescent="0.2"/>
  <cols>
    <col min="2" max="2" width="14.33203125" style="3" bestFit="1" customWidth="1"/>
    <col min="3" max="3" width="10.83203125" style="2"/>
    <col min="5" max="5" width="10.83203125" style="3"/>
    <col min="12" max="12" width="13.5" bestFit="1" customWidth="1"/>
  </cols>
  <sheetData>
    <row r="1" spans="1:12" x14ac:dyDescent="0.2">
      <c r="A1" s="9" t="s">
        <v>6</v>
      </c>
      <c r="B1" s="8" t="s">
        <v>0</v>
      </c>
      <c r="C1" s="10"/>
      <c r="D1" s="9"/>
      <c r="E1" s="11" t="s">
        <v>1</v>
      </c>
      <c r="F1" s="9"/>
      <c r="G1" s="9"/>
      <c r="H1" s="9"/>
      <c r="I1" s="9" t="s">
        <v>7</v>
      </c>
    </row>
    <row r="3" spans="1:12" x14ac:dyDescent="0.2">
      <c r="A3" s="6">
        <v>1</v>
      </c>
      <c r="B3" s="7">
        <v>44419</v>
      </c>
      <c r="C3" s="2">
        <v>29</v>
      </c>
      <c r="E3" s="3">
        <f>B3+C3</f>
        <v>44448</v>
      </c>
      <c r="G3">
        <v>29.53</v>
      </c>
      <c r="H3">
        <v>1</v>
      </c>
      <c r="I3">
        <f>(H3*29.53)</f>
        <v>29.53</v>
      </c>
      <c r="L3" t="s">
        <v>8</v>
      </c>
    </row>
    <row r="4" spans="1:12" x14ac:dyDescent="0.2">
      <c r="A4" s="5">
        <v>2</v>
      </c>
      <c r="C4" s="2">
        <v>41</v>
      </c>
      <c r="E4" s="3">
        <f>B3+C4</f>
        <v>44460</v>
      </c>
      <c r="H4">
        <v>2</v>
      </c>
      <c r="I4">
        <f t="shared" ref="I4:I31" si="0">(H4*29.53)</f>
        <v>59.06</v>
      </c>
    </row>
    <row r="5" spans="1:12" x14ac:dyDescent="0.2">
      <c r="A5" s="5">
        <v>3</v>
      </c>
      <c r="C5" s="2">
        <v>51</v>
      </c>
      <c r="E5" s="3">
        <f>B3+C5</f>
        <v>44470</v>
      </c>
      <c r="H5">
        <v>3</v>
      </c>
      <c r="I5">
        <f t="shared" si="0"/>
        <v>88.59</v>
      </c>
    </row>
    <row r="6" spans="1:12" x14ac:dyDescent="0.2">
      <c r="A6" s="6">
        <v>4</v>
      </c>
      <c r="C6" s="2">
        <v>59</v>
      </c>
      <c r="E6" s="3">
        <f>B3+C6</f>
        <v>44478</v>
      </c>
      <c r="H6">
        <v>4</v>
      </c>
      <c r="I6">
        <f t="shared" si="0"/>
        <v>118.12</v>
      </c>
    </row>
    <row r="7" spans="1:12" x14ac:dyDescent="0.2">
      <c r="A7" s="5">
        <v>5</v>
      </c>
      <c r="C7" s="2">
        <v>66</v>
      </c>
      <c r="E7" s="3">
        <f>B3+C7</f>
        <v>44485</v>
      </c>
      <c r="H7">
        <v>5</v>
      </c>
      <c r="I7">
        <f t="shared" si="0"/>
        <v>147.65</v>
      </c>
    </row>
    <row r="8" spans="1:12" x14ac:dyDescent="0.2">
      <c r="A8" s="5">
        <v>6</v>
      </c>
      <c r="C8" s="2">
        <v>84</v>
      </c>
      <c r="E8" s="3">
        <f>B3+C8</f>
        <v>44503</v>
      </c>
      <c r="H8">
        <v>6</v>
      </c>
      <c r="I8">
        <f t="shared" si="0"/>
        <v>177.18</v>
      </c>
    </row>
    <row r="9" spans="1:12" x14ac:dyDescent="0.2">
      <c r="A9" s="6">
        <v>7</v>
      </c>
      <c r="C9" s="2">
        <v>88</v>
      </c>
      <c r="E9" s="3">
        <f>B3+C9</f>
        <v>44507</v>
      </c>
      <c r="H9">
        <v>7</v>
      </c>
      <c r="I9">
        <f t="shared" si="0"/>
        <v>206.71</v>
      </c>
    </row>
    <row r="10" spans="1:12" x14ac:dyDescent="0.2">
      <c r="A10" s="5">
        <v>8</v>
      </c>
      <c r="C10" s="2">
        <v>106</v>
      </c>
      <c r="E10" s="3">
        <f>B3+C10</f>
        <v>44525</v>
      </c>
      <c r="H10">
        <v>8</v>
      </c>
      <c r="I10">
        <f t="shared" si="0"/>
        <v>236.24</v>
      </c>
    </row>
    <row r="11" spans="1:12" x14ac:dyDescent="0.2">
      <c r="A11" s="6">
        <v>9</v>
      </c>
      <c r="C11" s="2">
        <v>118</v>
      </c>
      <c r="E11" s="3">
        <f>B3+C11</f>
        <v>44537</v>
      </c>
      <c r="H11">
        <v>9</v>
      </c>
      <c r="I11">
        <f t="shared" si="0"/>
        <v>265.77</v>
      </c>
    </row>
    <row r="12" spans="1:12" x14ac:dyDescent="0.2">
      <c r="A12" s="5">
        <v>10</v>
      </c>
      <c r="C12" s="2">
        <v>135</v>
      </c>
      <c r="E12" s="3">
        <f>B3+C12</f>
        <v>44554</v>
      </c>
      <c r="H12">
        <v>10</v>
      </c>
      <c r="I12">
        <f t="shared" si="0"/>
        <v>295.3</v>
      </c>
    </row>
    <row r="13" spans="1:12" x14ac:dyDescent="0.2">
      <c r="A13" s="6">
        <v>11</v>
      </c>
      <c r="C13" s="2">
        <v>147</v>
      </c>
      <c r="E13" s="3">
        <f>B3+C13</f>
        <v>44566</v>
      </c>
      <c r="H13">
        <v>11</v>
      </c>
      <c r="I13">
        <f t="shared" si="0"/>
        <v>324.83000000000004</v>
      </c>
    </row>
    <row r="14" spans="1:12" x14ac:dyDescent="0.2">
      <c r="A14" s="5">
        <v>12</v>
      </c>
      <c r="C14" s="2">
        <v>172</v>
      </c>
      <c r="E14" s="3">
        <f>B3+C14</f>
        <v>44591</v>
      </c>
      <c r="H14">
        <v>12</v>
      </c>
      <c r="I14">
        <f t="shared" si="0"/>
        <v>354.36</v>
      </c>
    </row>
    <row r="15" spans="1:12" x14ac:dyDescent="0.2">
      <c r="A15" s="6">
        <v>13</v>
      </c>
      <c r="C15" s="2">
        <v>177</v>
      </c>
      <c r="E15" s="3">
        <f>B3+C15</f>
        <v>44596</v>
      </c>
      <c r="H15">
        <v>13</v>
      </c>
      <c r="I15">
        <f t="shared" si="0"/>
        <v>383.89</v>
      </c>
    </row>
    <row r="16" spans="1:12" x14ac:dyDescent="0.2">
      <c r="A16" s="6">
        <v>14</v>
      </c>
      <c r="C16" s="2">
        <v>206</v>
      </c>
      <c r="E16" s="3">
        <f>B3+C16</f>
        <v>44625</v>
      </c>
      <c r="H16">
        <v>14</v>
      </c>
      <c r="I16">
        <f t="shared" si="0"/>
        <v>413.42</v>
      </c>
    </row>
    <row r="17" spans="1:9" x14ac:dyDescent="0.2">
      <c r="A17" s="5">
        <v>15</v>
      </c>
      <c r="C17" s="2">
        <v>219</v>
      </c>
      <c r="E17" s="3">
        <f>B3+C17</f>
        <v>44638</v>
      </c>
      <c r="H17">
        <v>15</v>
      </c>
      <c r="I17">
        <f t="shared" si="0"/>
        <v>442.95000000000005</v>
      </c>
    </row>
    <row r="18" spans="1:9" x14ac:dyDescent="0.2">
      <c r="A18" s="6">
        <v>16</v>
      </c>
      <c r="C18" s="2">
        <v>236</v>
      </c>
      <c r="E18" s="3">
        <f>B3+C18</f>
        <v>44655</v>
      </c>
      <c r="H18">
        <v>16</v>
      </c>
      <c r="I18">
        <f t="shared" si="0"/>
        <v>472.48</v>
      </c>
    </row>
    <row r="19" spans="1:9" x14ac:dyDescent="0.2">
      <c r="A19" s="6">
        <v>17</v>
      </c>
      <c r="C19" s="2">
        <v>265</v>
      </c>
      <c r="E19" s="3">
        <f>B3+C19</f>
        <v>44684</v>
      </c>
      <c r="H19">
        <v>17</v>
      </c>
      <c r="I19">
        <f t="shared" si="0"/>
        <v>502.01</v>
      </c>
    </row>
    <row r="20" spans="1:9" x14ac:dyDescent="0.2">
      <c r="A20" s="5">
        <v>18</v>
      </c>
      <c r="C20" s="2">
        <v>278</v>
      </c>
      <c r="E20" s="3">
        <f>B3+C20</f>
        <v>44697</v>
      </c>
      <c r="H20">
        <v>18</v>
      </c>
      <c r="I20">
        <f t="shared" si="0"/>
        <v>531.54</v>
      </c>
    </row>
    <row r="21" spans="1:9" x14ac:dyDescent="0.2">
      <c r="A21" s="6">
        <v>19</v>
      </c>
      <c r="C21" s="2">
        <v>295</v>
      </c>
      <c r="E21" s="3">
        <f>B3+C21</f>
        <v>44714</v>
      </c>
      <c r="H21">
        <v>19</v>
      </c>
      <c r="I21">
        <f t="shared" si="0"/>
        <v>561.07000000000005</v>
      </c>
    </row>
    <row r="22" spans="1:9" x14ac:dyDescent="0.2">
      <c r="A22" s="6">
        <v>20</v>
      </c>
      <c r="C22" s="2">
        <v>324</v>
      </c>
      <c r="E22" s="3">
        <f>B3+C22</f>
        <v>44743</v>
      </c>
      <c r="H22">
        <v>20</v>
      </c>
      <c r="I22">
        <f t="shared" si="0"/>
        <v>590.6</v>
      </c>
    </row>
    <row r="23" spans="1:9" x14ac:dyDescent="0.2">
      <c r="A23" s="6">
        <v>21</v>
      </c>
      <c r="C23" s="2">
        <v>354</v>
      </c>
      <c r="E23" s="3">
        <f>B3+C23</f>
        <v>44773</v>
      </c>
      <c r="H23">
        <v>21</v>
      </c>
      <c r="I23">
        <f t="shared" si="0"/>
        <v>620.13</v>
      </c>
    </row>
    <row r="24" spans="1:9" x14ac:dyDescent="0.2">
      <c r="H24">
        <v>22</v>
      </c>
      <c r="I24">
        <f t="shared" si="0"/>
        <v>649.66000000000008</v>
      </c>
    </row>
    <row r="25" spans="1:9" x14ac:dyDescent="0.2">
      <c r="H25">
        <v>23</v>
      </c>
      <c r="I25">
        <f t="shared" si="0"/>
        <v>679.19</v>
      </c>
    </row>
    <row r="26" spans="1:9" x14ac:dyDescent="0.2">
      <c r="H26">
        <v>24</v>
      </c>
      <c r="I26">
        <f t="shared" si="0"/>
        <v>708.72</v>
      </c>
    </row>
    <row r="27" spans="1:9" x14ac:dyDescent="0.2">
      <c r="H27">
        <v>25</v>
      </c>
      <c r="I27">
        <f t="shared" si="0"/>
        <v>738.25</v>
      </c>
    </row>
    <row r="28" spans="1:9" x14ac:dyDescent="0.2">
      <c r="H28">
        <v>26</v>
      </c>
      <c r="I28">
        <f t="shared" si="0"/>
        <v>767.78</v>
      </c>
    </row>
    <row r="29" spans="1:9" x14ac:dyDescent="0.2">
      <c r="H29">
        <v>27</v>
      </c>
      <c r="I29">
        <f t="shared" si="0"/>
        <v>797.31000000000006</v>
      </c>
    </row>
    <row r="30" spans="1:9" x14ac:dyDescent="0.2">
      <c r="H30">
        <v>28</v>
      </c>
      <c r="I30">
        <f t="shared" si="0"/>
        <v>826.84</v>
      </c>
    </row>
    <row r="31" spans="1:9" x14ac:dyDescent="0.2">
      <c r="H31">
        <v>29</v>
      </c>
      <c r="I31">
        <f t="shared" si="0"/>
        <v>856.37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7A58-263B-804B-98FA-D8BA2E27B523}">
  <dimension ref="A1:D2"/>
  <sheetViews>
    <sheetView workbookViewId="0">
      <selection activeCell="C2" sqref="C2"/>
    </sheetView>
  </sheetViews>
  <sheetFormatPr baseColWidth="10" defaultRowHeight="16" x14ac:dyDescent="0.2"/>
  <cols>
    <col min="1" max="1" width="28.6640625" bestFit="1" customWidth="1"/>
    <col min="3" max="4" width="10.83203125" style="3"/>
  </cols>
  <sheetData>
    <row r="1" spans="1:4" x14ac:dyDescent="0.2">
      <c r="A1" t="s">
        <v>3</v>
      </c>
      <c r="B1" t="s">
        <v>2</v>
      </c>
      <c r="C1" s="4" t="s">
        <v>4</v>
      </c>
      <c r="D1" s="3" t="s">
        <v>5</v>
      </c>
    </row>
    <row r="2" spans="1:4" x14ac:dyDescent="0.2">
      <c r="A2">
        <v>1027</v>
      </c>
      <c r="B2">
        <f>MOD(A2,360)</f>
        <v>307</v>
      </c>
      <c r="C2" s="3">
        <v>44112</v>
      </c>
      <c r="D2" s="3">
        <f>C2+B2</f>
        <v>44419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7DBC-FEC4-4E4E-A94F-6D3991AE7770}">
  <dimension ref="A1:H3"/>
  <sheetViews>
    <sheetView workbookViewId="0">
      <selection activeCell="F3" sqref="F3"/>
    </sheetView>
  </sheetViews>
  <sheetFormatPr baseColWidth="10" defaultRowHeight="16" x14ac:dyDescent="0.2"/>
  <cols>
    <col min="1" max="1" width="18.5" bestFit="1" customWidth="1"/>
    <col min="2" max="2" width="24.33203125" bestFit="1" customWidth="1"/>
    <col min="3" max="3" width="23.33203125" bestFit="1" customWidth="1"/>
    <col min="4" max="4" width="14.5" style="1" bestFit="1" customWidth="1"/>
    <col min="5" max="5" width="18.1640625" bestFit="1" customWidth="1"/>
    <col min="6" max="6" width="17.33203125" bestFit="1" customWidth="1"/>
    <col min="7" max="7" width="19" bestFit="1" customWidth="1"/>
    <col min="8" max="8" width="11" bestFit="1" customWidth="1"/>
  </cols>
  <sheetData>
    <row r="1" spans="1:8" ht="26" x14ac:dyDescent="0.3">
      <c r="A1" s="12" t="s">
        <v>9</v>
      </c>
      <c r="B1" s="12" t="s">
        <v>12</v>
      </c>
      <c r="C1" s="12" t="s">
        <v>13</v>
      </c>
      <c r="D1" s="13" t="s">
        <v>14</v>
      </c>
      <c r="E1" s="12" t="s">
        <v>15</v>
      </c>
      <c r="F1" s="12" t="s">
        <v>16</v>
      </c>
      <c r="G1" s="12" t="s">
        <v>17</v>
      </c>
      <c r="H1" s="12" t="s">
        <v>18</v>
      </c>
    </row>
    <row r="2" spans="1:8" ht="26" x14ac:dyDescent="0.3">
      <c r="A2" s="14" t="s">
        <v>10</v>
      </c>
      <c r="B2" s="14">
        <v>17590.2</v>
      </c>
      <c r="C2" s="14">
        <v>17578.650000000001</v>
      </c>
      <c r="D2" s="15">
        <f>+(C2-B2)/C2*100</f>
        <v>-6.5704704286161167E-2</v>
      </c>
      <c r="E2" s="14" t="str">
        <f>+IF(D2&gt;D3, "Sell PE ATM", "Sell CE ATM")</f>
        <v>Sell CE ATM</v>
      </c>
      <c r="F2" s="16">
        <f>MROUND(C2,50)</f>
        <v>17600</v>
      </c>
      <c r="G2" s="14"/>
      <c r="H2" s="14">
        <v>1</v>
      </c>
    </row>
    <row r="3" spans="1:8" ht="26" x14ac:dyDescent="0.3">
      <c r="A3" s="14" t="s">
        <v>11</v>
      </c>
      <c r="B3" s="14">
        <v>39128</v>
      </c>
      <c r="C3" s="14">
        <v>39216.449999999997</v>
      </c>
      <c r="D3" s="15">
        <f>+(C3-B3)/C3*100</f>
        <v>0.2255431075479731</v>
      </c>
      <c r="E3" s="14" t="str">
        <f>+IF(D3&gt;D2, "Sell PE ATM", "Sell CE ATM")</f>
        <v>Sell PE ATM</v>
      </c>
      <c r="F3" s="16">
        <f>MROUND(C3,100)</f>
        <v>39200</v>
      </c>
      <c r="G3" s="14"/>
      <c r="H3" s="1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4F5E-E82B-7648-9B72-091012C04E80}">
  <dimension ref="A1:G22"/>
  <sheetViews>
    <sheetView topLeftCell="A4" workbookViewId="0">
      <selection activeCell="B22" sqref="B22"/>
    </sheetView>
  </sheetViews>
  <sheetFormatPr baseColWidth="10" defaultRowHeight="16" x14ac:dyDescent="0.2"/>
  <cols>
    <col min="1" max="1" width="34" bestFit="1" customWidth="1"/>
    <col min="2" max="2" width="30" bestFit="1" customWidth="1"/>
    <col min="3" max="3" width="39.33203125" bestFit="1" customWidth="1"/>
    <col min="4" max="4" width="9.83203125" bestFit="1" customWidth="1"/>
    <col min="5" max="5" width="12.5" customWidth="1"/>
    <col min="7" max="7" width="45" customWidth="1"/>
  </cols>
  <sheetData>
    <row r="1" spans="1:7" ht="26" x14ac:dyDescent="0.3">
      <c r="A1" s="12" t="s">
        <v>9</v>
      </c>
      <c r="B1" s="12" t="s">
        <v>23</v>
      </c>
      <c r="C1" s="12" t="s">
        <v>15</v>
      </c>
      <c r="D1" s="12" t="s">
        <v>16</v>
      </c>
      <c r="E1" s="12" t="s">
        <v>20</v>
      </c>
      <c r="F1" s="12" t="s">
        <v>18</v>
      </c>
      <c r="G1" s="20" t="s">
        <v>26</v>
      </c>
    </row>
    <row r="2" spans="1:7" ht="26" x14ac:dyDescent="0.3">
      <c r="E2" s="22"/>
      <c r="F2" s="22"/>
    </row>
    <row r="3" spans="1:7" ht="26" x14ac:dyDescent="0.3">
      <c r="A3" s="14" t="s">
        <v>21</v>
      </c>
      <c r="B3" s="14">
        <v>17230</v>
      </c>
      <c r="C3" s="23" t="s">
        <v>24</v>
      </c>
      <c r="D3" s="21"/>
      <c r="E3" s="17"/>
      <c r="F3" s="17"/>
    </row>
    <row r="4" spans="1:7" ht="26" x14ac:dyDescent="0.3">
      <c r="A4" s="14" t="s">
        <v>22</v>
      </c>
      <c r="B4" s="14">
        <v>37775</v>
      </c>
      <c r="C4" s="23" t="s">
        <v>25</v>
      </c>
      <c r="D4" s="21"/>
      <c r="E4" s="17"/>
      <c r="F4" s="17"/>
    </row>
    <row r="5" spans="1:7" ht="26" x14ac:dyDescent="0.3">
      <c r="A5" s="21"/>
      <c r="B5" s="21"/>
      <c r="C5" s="21"/>
      <c r="D5" s="21"/>
      <c r="E5" s="17"/>
      <c r="F5" s="17"/>
    </row>
    <row r="6" spans="1:7" ht="26" x14ac:dyDescent="0.3">
      <c r="A6" s="14" t="s">
        <v>10</v>
      </c>
      <c r="B6" s="14"/>
      <c r="C6" s="14" t="s">
        <v>19</v>
      </c>
      <c r="D6" s="18">
        <f>MROUND(B3,50)+200</f>
        <v>17450</v>
      </c>
      <c r="E6" s="14"/>
      <c r="F6" s="14">
        <v>1</v>
      </c>
    </row>
    <row r="7" spans="1:7" ht="26" x14ac:dyDescent="0.3">
      <c r="A7" s="14" t="s">
        <v>10</v>
      </c>
      <c r="B7" s="14"/>
      <c r="C7" s="14" t="s">
        <v>19</v>
      </c>
      <c r="D7" s="16">
        <f>MROUND(B3,50)</f>
        <v>17250</v>
      </c>
      <c r="E7" s="14"/>
      <c r="F7" s="14">
        <v>1</v>
      </c>
    </row>
    <row r="8" spans="1:7" ht="26" x14ac:dyDescent="0.3">
      <c r="A8" s="14" t="s">
        <v>10</v>
      </c>
      <c r="B8" s="14"/>
      <c r="C8" s="14" t="s">
        <v>19</v>
      </c>
      <c r="D8" s="18">
        <f>MROUND(B3,50)-200</f>
        <v>17050</v>
      </c>
      <c r="E8" s="14"/>
      <c r="F8" s="14">
        <v>1</v>
      </c>
    </row>
    <row r="9" spans="1:7" ht="26" x14ac:dyDescent="0.3">
      <c r="A9" s="14"/>
      <c r="B9" s="14"/>
      <c r="C9" s="14"/>
      <c r="D9" s="18"/>
      <c r="E9" s="14"/>
      <c r="F9" s="14"/>
    </row>
    <row r="10" spans="1:7" ht="26" x14ac:dyDescent="0.3">
      <c r="A10" s="14" t="s">
        <v>11</v>
      </c>
      <c r="B10" s="14"/>
      <c r="C10" s="14" t="s">
        <v>19</v>
      </c>
      <c r="D10" s="18">
        <f>MROUND(B4,100)-500</f>
        <v>37300</v>
      </c>
      <c r="E10" s="14"/>
      <c r="F10" s="14">
        <v>1</v>
      </c>
    </row>
    <row r="11" spans="1:7" ht="26" x14ac:dyDescent="0.3">
      <c r="A11" s="14" t="s">
        <v>11</v>
      </c>
      <c r="B11" s="14"/>
      <c r="C11" s="14" t="s">
        <v>19</v>
      </c>
      <c r="D11" s="16">
        <f>MROUND(B4,100)</f>
        <v>37800</v>
      </c>
      <c r="F11" s="19">
        <v>1</v>
      </c>
    </row>
    <row r="12" spans="1:7" ht="26" x14ac:dyDescent="0.3">
      <c r="A12" s="14" t="s">
        <v>11</v>
      </c>
      <c r="B12" s="14"/>
      <c r="C12" s="14" t="s">
        <v>19</v>
      </c>
      <c r="D12" s="18">
        <f>MROUND(B4,100)+500</f>
        <v>38300</v>
      </c>
      <c r="F12" s="19">
        <v>1</v>
      </c>
    </row>
    <row r="15" spans="1:7" ht="26" x14ac:dyDescent="0.3">
      <c r="A15" s="24" t="s">
        <v>32</v>
      </c>
    </row>
    <row r="16" spans="1:7" ht="26" x14ac:dyDescent="0.3">
      <c r="A16" s="24" t="s">
        <v>31</v>
      </c>
    </row>
    <row r="17" spans="1:1" ht="26" x14ac:dyDescent="0.3">
      <c r="A17" s="24" t="s">
        <v>30</v>
      </c>
    </row>
    <row r="18" spans="1:1" ht="26" x14ac:dyDescent="0.3">
      <c r="A18" s="24" t="s">
        <v>27</v>
      </c>
    </row>
    <row r="19" spans="1:1" ht="26" x14ac:dyDescent="0.3">
      <c r="A19" s="24" t="s">
        <v>28</v>
      </c>
    </row>
    <row r="20" spans="1:1" ht="26" x14ac:dyDescent="0.3">
      <c r="A20" s="24" t="s">
        <v>29</v>
      </c>
    </row>
    <row r="22" spans="1:1" ht="26" x14ac:dyDescent="0.3">
      <c r="A22" s="2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moon-cyles</vt:lpstr>
      <vt:lpstr>Sun-Cycle</vt:lpstr>
      <vt:lpstr>Sheet4</vt:lpstr>
      <vt:lpstr>MACD-ST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Shailendra Vishwakarma</cp:lastModifiedBy>
  <dcterms:created xsi:type="dcterms:W3CDTF">2022-02-03T17:39:32Z</dcterms:created>
  <dcterms:modified xsi:type="dcterms:W3CDTF">2025-01-31T04:43:50Z</dcterms:modified>
</cp:coreProperties>
</file>